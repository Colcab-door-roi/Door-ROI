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wso\Documents\fridge-energy-savings\"/>
    </mc:Choice>
  </mc:AlternateContent>
  <xr:revisionPtr revIDLastSave="0" documentId="8_{B2AC6099-14C6-4C9D-8A7F-0C75781A107E}" xr6:coauthVersionLast="47" xr6:coauthVersionMax="47" xr10:uidLastSave="{00000000-0000-0000-0000-000000000000}"/>
  <bookViews>
    <workbookView xWindow="-108" yWindow="-108" windowWidth="23256" windowHeight="12456" xr2:uid="{C3B538DB-B12E-4616-ACEE-6FCBE0F840FC}"/>
  </bookViews>
  <sheets>
    <sheet name="Doors" sheetId="1" r:id="rId1"/>
    <sheet name="Ref Type" sheetId="3" r:id="rId2"/>
    <sheet name="Led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  <c r="H12" i="1" s="1"/>
  <c r="G11" i="1"/>
  <c r="H11" i="1" s="1"/>
  <c r="G10" i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I8" i="1"/>
  <c r="G2" i="1"/>
  <c r="H2" i="1" s="1"/>
  <c r="F3" i="1"/>
  <c r="I3" i="1" s="1"/>
  <c r="F4" i="1"/>
  <c r="I4" i="1" s="1"/>
  <c r="F5" i="1"/>
  <c r="F6" i="1"/>
  <c r="F7" i="1"/>
  <c r="F8" i="1"/>
  <c r="F9" i="1"/>
  <c r="F10" i="1"/>
  <c r="F11" i="1"/>
  <c r="F12" i="1"/>
  <c r="F2" i="1"/>
  <c r="I6" i="1" l="1"/>
  <c r="I2" i="1"/>
  <c r="I10" i="1"/>
  <c r="I12" i="1"/>
  <c r="H10" i="1"/>
  <c r="I9" i="1"/>
  <c r="I5" i="1"/>
  <c r="I11" i="1"/>
  <c r="I7" i="1"/>
</calcChain>
</file>

<file path=xl/sharedStrings.xml><?xml version="1.0" encoding="utf-8"?>
<sst xmlns="http://schemas.openxmlformats.org/spreadsheetml/2006/main" count="27" uniqueCount="26">
  <si>
    <t xml:space="preserve">Case Type </t>
  </si>
  <si>
    <t xml:space="preserve">Huberg Lofty </t>
  </si>
  <si>
    <t>Live Wall</t>
  </si>
  <si>
    <t xml:space="preserve">High Meat </t>
  </si>
  <si>
    <t xml:space="preserve">High Meat Lofty </t>
  </si>
  <si>
    <t xml:space="preserve">W/FT with doors </t>
  </si>
  <si>
    <t xml:space="preserve">W/Ft with out doors </t>
  </si>
  <si>
    <t xml:space="preserve">refrigiration plant type </t>
  </si>
  <si>
    <t xml:space="preserve">Simplex </t>
  </si>
  <si>
    <t xml:space="preserve">Multiplex </t>
  </si>
  <si>
    <t xml:space="preserve">waterloop </t>
  </si>
  <si>
    <t xml:space="preserve">DX </t>
  </si>
  <si>
    <t xml:space="preserve">Age </t>
  </si>
  <si>
    <t xml:space="preserve">Live Wall Lofty </t>
  </si>
  <si>
    <t xml:space="preserve">Dairy Lofty 2003-2009 </t>
  </si>
  <si>
    <t xml:space="preserve">Dairy Lofty 2009 onwards </t>
  </si>
  <si>
    <t xml:space="preserve">Dairy Std </t>
  </si>
  <si>
    <t xml:space="preserve">800 Dairy </t>
  </si>
  <si>
    <t xml:space="preserve">800 Dairy Lofty </t>
  </si>
  <si>
    <t xml:space="preserve">800 Huberg Lofty </t>
  </si>
  <si>
    <t>% Savings</t>
  </si>
  <si>
    <t>COP</t>
  </si>
  <si>
    <t xml:space="preserve">Direct Enegy without doors per foot </t>
  </si>
  <si>
    <t>Direct Enegy with doors  per foot</t>
  </si>
  <si>
    <t xml:space="preserve">Size </t>
  </si>
  <si>
    <t xml:space="preserve">Qty 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</si>
</sst>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1072-0A67-4852-9F1F-EA35AD35A1C0}">
  <dimension ref="A1:I12"/>
  <sheetViews>
    <sheetView tabSelected="1" workbookViewId="0">
      <selection activeCell="F14" sqref="F14"/>
    </sheetView>
  </sheetViews>
  <sheetFormatPr defaultRowHeight="14.4" x14ac:dyDescent="0.3"/>
  <cols>
    <col min="1" max="1" width="21.44140625" bestFit="1" customWidth="1"/>
    <col min="2" max="2" width="4.5546875" bestFit="1" customWidth="1"/>
    <col min="3" max="3" width="5.88671875" bestFit="1" customWidth="1"/>
    <col min="4" max="4" width="16.77734375" bestFit="1" customWidth="1"/>
    <col min="5" max="5" width="8.88671875" bestFit="1" customWidth="1"/>
    <col min="6" max="6" width="14.21875" bestFit="1" customWidth="1"/>
    <col min="7" max="7" width="4.6640625" bestFit="1" customWidth="1"/>
    <col min="8" max="8" width="29.21875" bestFit="1" customWidth="1"/>
    <col min="9" max="9" width="26.6640625" bestFit="1" customWidth="1"/>
  </cols>
  <sheetData>
    <row r="1" spans="1:9" x14ac:dyDescent="0.3">
      <c r="A1" t="s">
        <v>0</v>
      </c>
      <c r="B1" t="s">
        <v>24</v>
      </c>
      <c r="C1" t="s">
        <v>25</v>
      </c>
      <c r="D1" t="s">
        <v>6</v>
      </c>
      <c r="E1" t="s">
        <v>20</v>
      </c>
      <c r="F1" t="s">
        <v>5</v>
      </c>
      <c r="G1" t="s">
        <v>21</v>
      </c>
      <c r="H1" t="s">
        <v>22</v>
      </c>
      <c r="I1" t="s">
        <v>23</v>
      </c>
    </row>
    <row r="2" spans="1:9" x14ac:dyDescent="0.3">
      <c r="A2" t="s">
        <v>16</v>
      </c>
      <c r="D2">
        <v>450</v>
      </c>
      <c r="E2">
        <v>50</v>
      </c>
      <c r="F2">
        <f>D2*E2%</f>
        <v>225</v>
      </c>
      <c r="G2" s="2">
        <f>'Ref Type'!B3</f>
        <v>2.2999999999999998</v>
      </c>
      <c r="H2" s="1">
        <f>D2/G2</f>
        <v>195.6521739130435</v>
      </c>
      <c r="I2" s="1">
        <f>F2/G2</f>
        <v>97.826086956521749</v>
      </c>
    </row>
    <row r="3" spans="1:9" x14ac:dyDescent="0.3">
      <c r="A3" t="s">
        <v>14</v>
      </c>
      <c r="D3">
        <v>570</v>
      </c>
      <c r="E3">
        <v>50</v>
      </c>
      <c r="F3">
        <f t="shared" ref="F3:F12" si="0">D3*E3%</f>
        <v>285</v>
      </c>
      <c r="G3" s="2">
        <f>'Ref Type'!B3</f>
        <v>2.2999999999999998</v>
      </c>
      <c r="H3" s="1">
        <f t="shared" ref="H3:H12" si="1">D3/G3</f>
        <v>247.82608695652175</v>
      </c>
      <c r="I3" s="1">
        <f t="shared" ref="I3:I12" si="2">F3/G3</f>
        <v>123.91304347826087</v>
      </c>
    </row>
    <row r="4" spans="1:9" x14ac:dyDescent="0.3">
      <c r="A4" t="s">
        <v>15</v>
      </c>
      <c r="D4">
        <v>480</v>
      </c>
      <c r="E4">
        <v>50</v>
      </c>
      <c r="F4">
        <f t="shared" si="0"/>
        <v>240</v>
      </c>
      <c r="G4" s="2">
        <f>'Ref Type'!B3</f>
        <v>2.2999999999999998</v>
      </c>
      <c r="H4" s="1">
        <f t="shared" si="1"/>
        <v>208.69565217391306</v>
      </c>
      <c r="I4" s="1">
        <f t="shared" si="2"/>
        <v>104.34782608695653</v>
      </c>
    </row>
    <row r="5" spans="1:9" x14ac:dyDescent="0.3">
      <c r="A5" t="s">
        <v>17</v>
      </c>
      <c r="D5">
        <v>340</v>
      </c>
      <c r="E5">
        <v>50</v>
      </c>
      <c r="F5">
        <f t="shared" si="0"/>
        <v>170</v>
      </c>
      <c r="G5" s="2">
        <f>'Ref Type'!B3</f>
        <v>2.2999999999999998</v>
      </c>
      <c r="H5" s="1">
        <f t="shared" si="1"/>
        <v>147.82608695652175</v>
      </c>
      <c r="I5" s="1">
        <f t="shared" si="2"/>
        <v>73.913043478260875</v>
      </c>
    </row>
    <row r="6" spans="1:9" x14ac:dyDescent="0.3">
      <c r="A6" t="s">
        <v>18</v>
      </c>
      <c r="D6">
        <v>380</v>
      </c>
      <c r="E6">
        <v>50</v>
      </c>
      <c r="F6">
        <f t="shared" si="0"/>
        <v>190</v>
      </c>
      <c r="G6" s="2">
        <f>'Ref Type'!B3</f>
        <v>2.2999999999999998</v>
      </c>
      <c r="H6" s="1">
        <f t="shared" si="1"/>
        <v>165.21739130434784</v>
      </c>
      <c r="I6" s="1">
        <f t="shared" si="2"/>
        <v>82.608695652173921</v>
      </c>
    </row>
    <row r="7" spans="1:9" x14ac:dyDescent="0.3">
      <c r="A7" t="s">
        <v>1</v>
      </c>
      <c r="D7">
        <v>410</v>
      </c>
      <c r="E7">
        <v>40</v>
      </c>
      <c r="F7">
        <f t="shared" si="0"/>
        <v>164</v>
      </c>
      <c r="G7" s="2">
        <f>'Ref Type'!B3</f>
        <v>2.2999999999999998</v>
      </c>
      <c r="H7" s="1">
        <f t="shared" si="1"/>
        <v>178.2608695652174</v>
      </c>
      <c r="I7" s="1">
        <f t="shared" si="2"/>
        <v>71.304347826086968</v>
      </c>
    </row>
    <row r="8" spans="1:9" x14ac:dyDescent="0.3">
      <c r="A8" t="s">
        <v>19</v>
      </c>
      <c r="D8">
        <v>330</v>
      </c>
      <c r="E8">
        <v>40</v>
      </c>
      <c r="F8">
        <f t="shared" si="0"/>
        <v>132</v>
      </c>
      <c r="G8" s="2">
        <f>'Ref Type'!B3</f>
        <v>2.2999999999999998</v>
      </c>
      <c r="H8" s="1">
        <f t="shared" si="1"/>
        <v>143.47826086956522</v>
      </c>
      <c r="I8" s="1">
        <f t="shared" si="2"/>
        <v>57.391304347826093</v>
      </c>
    </row>
    <row r="9" spans="1:9" x14ac:dyDescent="0.3">
      <c r="A9" t="s">
        <v>2</v>
      </c>
      <c r="D9">
        <v>530</v>
      </c>
      <c r="E9">
        <v>50</v>
      </c>
      <c r="F9">
        <f t="shared" si="0"/>
        <v>265</v>
      </c>
      <c r="G9" s="2">
        <f>'Ref Type'!B3</f>
        <v>2.2999999999999998</v>
      </c>
      <c r="H9" s="1">
        <f t="shared" si="1"/>
        <v>230.43478260869566</v>
      </c>
      <c r="I9" s="1">
        <f t="shared" si="2"/>
        <v>115.21739130434783</v>
      </c>
    </row>
    <row r="10" spans="1:9" x14ac:dyDescent="0.3">
      <c r="A10" t="s">
        <v>13</v>
      </c>
      <c r="D10">
        <v>590</v>
      </c>
      <c r="E10">
        <v>50</v>
      </c>
      <c r="F10">
        <f t="shared" si="0"/>
        <v>295</v>
      </c>
      <c r="G10" s="2">
        <f>'Ref Type'!B3</f>
        <v>2.2999999999999998</v>
      </c>
      <c r="H10" s="1">
        <f t="shared" si="1"/>
        <v>256.52173913043481</v>
      </c>
      <c r="I10" s="1">
        <f t="shared" si="2"/>
        <v>128.2608695652174</v>
      </c>
    </row>
    <row r="11" spans="1:9" x14ac:dyDescent="0.3">
      <c r="A11" t="s">
        <v>3</v>
      </c>
      <c r="D11">
        <v>400</v>
      </c>
      <c r="E11">
        <v>50</v>
      </c>
      <c r="F11">
        <f t="shared" si="0"/>
        <v>200</v>
      </c>
      <c r="G11" s="2">
        <f>'Ref Type'!B3</f>
        <v>2.2999999999999998</v>
      </c>
      <c r="H11" s="1">
        <f t="shared" si="1"/>
        <v>173.91304347826087</v>
      </c>
      <c r="I11" s="1">
        <f t="shared" si="2"/>
        <v>86.956521739130437</v>
      </c>
    </row>
    <row r="12" spans="1:9" x14ac:dyDescent="0.3">
      <c r="A12" t="s">
        <v>4</v>
      </c>
      <c r="D12">
        <v>450</v>
      </c>
      <c r="E12">
        <v>50</v>
      </c>
      <c r="F12">
        <f t="shared" si="0"/>
        <v>225</v>
      </c>
      <c r="G12" s="2">
        <f>'Ref Type'!B3</f>
        <v>2.2999999999999998</v>
      </c>
      <c r="H12" s="1">
        <f t="shared" si="1"/>
        <v>195.6521739130435</v>
      </c>
      <c r="I12" s="1">
        <f t="shared" si="2"/>
        <v>97.826086956521749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E1ED-F106-4447-A944-EBEB1C31F0E9}">
  <dimension ref="A1:C5"/>
  <sheetViews>
    <sheetView workbookViewId="0">
      <selection activeCell="B6" sqref="B6"/>
    </sheetView>
  </sheetViews>
  <sheetFormatPr defaultRowHeight="14.4" x14ac:dyDescent="0.3"/>
  <cols>
    <col min="1" max="1" width="19.109375" customWidth="1"/>
  </cols>
  <sheetData>
    <row r="1" spans="1:3" x14ac:dyDescent="0.3">
      <c r="A1" t="s">
        <v>7</v>
      </c>
      <c r="B1" t="s">
        <v>21</v>
      </c>
      <c r="C1" t="s">
        <v>12</v>
      </c>
    </row>
    <row r="2" spans="1:3" x14ac:dyDescent="0.3">
      <c r="A2" t="s">
        <v>8</v>
      </c>
      <c r="B2">
        <v>1.9</v>
      </c>
    </row>
    <row r="3" spans="1:3" x14ac:dyDescent="0.3">
      <c r="A3" t="s">
        <v>9</v>
      </c>
      <c r="B3">
        <v>2.2999999999999998</v>
      </c>
    </row>
    <row r="4" spans="1:3" x14ac:dyDescent="0.3">
      <c r="A4" t="s">
        <v>10</v>
      </c>
      <c r="B4">
        <v>4.2</v>
      </c>
    </row>
    <row r="5" spans="1:3" x14ac:dyDescent="0.3">
      <c r="A5" t="s">
        <v>11</v>
      </c>
      <c r="B5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A3C9-87B3-4D15-9583-B0C57825B7DB}">
  <dimension ref="A1"/>
  <sheetViews>
    <sheetView workbookViewId="0">
      <selection activeCell="C10" sqref="C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Doors</vt:lpstr>
      <vt:lpstr>Ref Type</vt:lpstr>
      <vt:lpstr>Leds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Chantelle Solomon</dc:creator>
  <cp:lastModifiedBy>Chantelle Solomon</cp:lastModifiedBy>
  <dcterms:created xsi:type="dcterms:W3CDTF">2026-08-21T05:11:45Z</dcterms:created>
  <dcterms:modified xsi:type="dcterms:W3CDTF">2026-08-21T05:34:25Z</dcterms:modified>
</cp:coreProperties>
</file>